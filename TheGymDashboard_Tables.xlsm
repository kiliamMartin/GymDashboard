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lia\Documents\DAW2\Praáctica 4\"/>
    </mc:Choice>
  </mc:AlternateContent>
  <xr:revisionPtr revIDLastSave="0" documentId="13_ncr:1_{6276F588-DA58-4EA3-B86D-2D72D184E895}" xr6:coauthVersionLast="47" xr6:coauthVersionMax="47" xr10:uidLastSave="{00000000-0000-0000-0000-000000000000}"/>
  <bookViews>
    <workbookView xWindow="25545" yWindow="3315" windowWidth="21600" windowHeight="15435" xr2:uid="{00000000-000D-0000-FFFF-FFFF00000000}"/>
  </bookViews>
  <sheets>
    <sheet name="Data" sheetId="2" r:id="rId1"/>
    <sheet name="Financial" sheetId="4" r:id="rId2"/>
  </sheets>
  <definedNames>
    <definedName name="Stat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2" i="4" l="1"/>
  <c r="O7" i="4"/>
  <c r="O16" i="4"/>
  <c r="O15" i="4"/>
  <c r="O9" i="4"/>
  <c r="O11" i="4"/>
  <c r="O8" i="4"/>
  <c r="O5" i="4"/>
  <c r="O12" i="4"/>
  <c r="O13" i="4"/>
  <c r="O6" i="4"/>
  <c r="O4" i="4"/>
  <c r="O10" i="4"/>
  <c r="O14" i="4"/>
  <c r="O3" i="4"/>
  <c r="M2" i="4"/>
  <c r="M7" i="4"/>
  <c r="M16" i="4"/>
  <c r="M15" i="4"/>
  <c r="M9" i="4"/>
  <c r="M11" i="4"/>
  <c r="M8" i="4"/>
  <c r="M5" i="4"/>
  <c r="M12" i="4"/>
  <c r="M13" i="4"/>
  <c r="M6" i="4"/>
  <c r="M4" i="4"/>
  <c r="M10" i="4"/>
  <c r="M14" i="4"/>
  <c r="M3" i="4"/>
  <c r="K14" i="4"/>
  <c r="K10" i="4"/>
  <c r="K4" i="4"/>
  <c r="K6" i="4"/>
  <c r="K13" i="4"/>
  <c r="K12" i="4"/>
  <c r="K5" i="4"/>
  <c r="K8" i="4"/>
  <c r="K11" i="4"/>
  <c r="K9" i="4"/>
  <c r="K15" i="4"/>
  <c r="K16" i="4"/>
  <c r="K7" i="4"/>
  <c r="K2" i="4"/>
  <c r="K3" i="4"/>
  <c r="E5" i="2" l="1"/>
  <c r="E8" i="2"/>
  <c r="E11" i="2"/>
  <c r="E9" i="2"/>
  <c r="E15" i="2"/>
  <c r="E16" i="2"/>
  <c r="E7" i="2"/>
  <c r="E2" i="2"/>
  <c r="E6" i="2"/>
  <c r="E13" i="2"/>
  <c r="E12" i="2"/>
  <c r="E4" i="2"/>
  <c r="E14" i="2"/>
  <c r="E10" i="2"/>
  <c r="E3" i="2"/>
</calcChain>
</file>

<file path=xl/sharedStrings.xml><?xml version="1.0" encoding="utf-8"?>
<sst xmlns="http://schemas.openxmlformats.org/spreadsheetml/2006/main" count="55" uniqueCount="39">
  <si>
    <t>Followers</t>
  </si>
  <si>
    <t>Likes</t>
  </si>
  <si>
    <t>Member Visits</t>
  </si>
  <si>
    <t>Members</t>
  </si>
  <si>
    <t>Avg Time on Site</t>
  </si>
  <si>
    <t>Security</t>
  </si>
  <si>
    <t>Customer Satisfaction</t>
  </si>
  <si>
    <t>FTE</t>
  </si>
  <si>
    <t>State</t>
  </si>
  <si>
    <t>Texas</t>
  </si>
  <si>
    <t>California</t>
  </si>
  <si>
    <t>New York</t>
  </si>
  <si>
    <t>Illinois</t>
  </si>
  <si>
    <t>Pennsylvania</t>
  </si>
  <si>
    <t>Ohio</t>
  </si>
  <si>
    <t>Georgia</t>
  </si>
  <si>
    <t>Michigan</t>
  </si>
  <si>
    <t>North Carolina</t>
  </si>
  <si>
    <t>New Jersey</t>
  </si>
  <si>
    <t>Virginia</t>
  </si>
  <si>
    <t>Washington</t>
  </si>
  <si>
    <t>Massachusetts</t>
  </si>
  <si>
    <t>Arizona</t>
  </si>
  <si>
    <t>ID</t>
  </si>
  <si>
    <t>Florida</t>
  </si>
  <si>
    <t>Number</t>
  </si>
  <si>
    <t>2013/14</t>
  </si>
  <si>
    <t>2014/15</t>
  </si>
  <si>
    <t>2015/16</t>
  </si>
  <si>
    <t>NPS</t>
  </si>
  <si>
    <t>CS</t>
  </si>
  <si>
    <t>EE</t>
  </si>
  <si>
    <t>EE-1</t>
  </si>
  <si>
    <t>NPS -1</t>
  </si>
  <si>
    <t>CS-1</t>
  </si>
  <si>
    <t>2016/17</t>
  </si>
  <si>
    <t>2017/18</t>
  </si>
  <si>
    <t>2018/19</t>
  </si>
  <si>
    <t>2019/20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</si>
</sst>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3" fontId="0" fillId="0" borderId="0" xfId="0" applyNumberFormat="1"/>
    <xf numFmtId="10" fontId="0" fillId="0" borderId="0" xfId="0" applyNumberFormat="1"/>
    <xf numFmtId="165" fontId="1" fillId="0" borderId="0" xfId="1" applyNumberFormat="1" applyFont="1"/>
    <xf numFmtId="0" fontId="2" fillId="0" borderId="0" xfId="0" applyFont="1" applyFill="1"/>
    <xf numFmtId="165" fontId="0" fillId="0" borderId="0" xfId="1" applyNumberFormat="1" applyFont="1"/>
    <xf numFmtId="0" fontId="3" fillId="2" borderId="0" xfId="0" applyFont="1" applyFill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N16"/>
  <sheetViews>
    <sheetView tabSelected="1" workbookViewId="0">
      <selection activeCell="J23" sqref="J23"/>
    </sheetView>
  </sheetViews>
  <sheetFormatPr baseColWidth="10" defaultColWidth="9.140625" defaultRowHeight="15" x14ac:dyDescent="0.25"/>
  <cols>
    <col min="2" max="2" width="14.42578125" bestFit="1" customWidth="1"/>
    <col min="3" max="4" width="10.140625" bestFit="1" customWidth="1"/>
    <col min="5" max="5" width="14" bestFit="1" customWidth="1"/>
    <col min="6" max="8" width="11.5703125" customWidth="1"/>
    <col min="9" max="9" width="23.7109375" customWidth="1"/>
    <col min="10" max="10" width="20.5703125" bestFit="1" customWidth="1"/>
    <col min="11" max="11" width="11.5703125" customWidth="1"/>
    <col min="13" max="13" width="9.5703125" bestFit="1" customWidth="1"/>
    <col min="15" max="15" width="10.140625" bestFit="1" customWidth="1"/>
  </cols>
  <sheetData>
    <row r="1" spans="1:14" x14ac:dyDescent="0.25">
      <c r="A1" s="6" t="s">
        <v>23</v>
      </c>
      <c r="B1" s="6" t="s">
        <v>8</v>
      </c>
      <c r="C1" s="6" t="s">
        <v>0</v>
      </c>
      <c r="D1" s="6" t="s">
        <v>1</v>
      </c>
      <c r="E1" s="6" t="s">
        <v>2</v>
      </c>
      <c r="F1" s="6" t="s">
        <v>3</v>
      </c>
      <c r="G1" s="6" t="s">
        <v>4</v>
      </c>
      <c r="H1" s="6" t="s">
        <v>5</v>
      </c>
      <c r="I1" s="6" t="s">
        <v>6</v>
      </c>
      <c r="J1" s="6" t="s">
        <v>7</v>
      </c>
    </row>
    <row r="2" spans="1:14" x14ac:dyDescent="0.25">
      <c r="A2">
        <v>1</v>
      </c>
      <c r="B2" s="4" t="s">
        <v>22</v>
      </c>
      <c r="C2" s="1">
        <v>1154.4224999999999</v>
      </c>
      <c r="D2" s="1">
        <v>2085.1819999999998</v>
      </c>
      <c r="E2" s="1">
        <f>F2*0.44</f>
        <v>917.48007999999993</v>
      </c>
      <c r="F2" s="1">
        <v>2085.1819999999998</v>
      </c>
      <c r="G2">
        <v>63</v>
      </c>
      <c r="H2" s="1">
        <v>2</v>
      </c>
      <c r="I2" s="2">
        <v>0.86</v>
      </c>
      <c r="J2">
        <v>11</v>
      </c>
      <c r="L2" s="3"/>
      <c r="N2" s="1"/>
    </row>
    <row r="3" spans="1:14" x14ac:dyDescent="0.25">
      <c r="A3">
        <v>2</v>
      </c>
      <c r="B3" s="4" t="s">
        <v>10</v>
      </c>
      <c r="C3" s="1">
        <v>3804.143</v>
      </c>
      <c r="D3" s="1">
        <v>3387.1648</v>
      </c>
      <c r="E3" s="1">
        <f>F3*0.53</f>
        <v>2513.2762815999999</v>
      </c>
      <c r="F3" s="1">
        <v>4742.0307199999997</v>
      </c>
      <c r="G3">
        <v>75</v>
      </c>
      <c r="H3" s="1">
        <v>4</v>
      </c>
      <c r="I3" s="2">
        <v>0.92</v>
      </c>
      <c r="J3">
        <v>55</v>
      </c>
      <c r="L3" s="3"/>
      <c r="N3" s="1"/>
    </row>
    <row r="4" spans="1:14" x14ac:dyDescent="0.25">
      <c r="A4">
        <v>3</v>
      </c>
      <c r="B4" s="4" t="s">
        <v>24</v>
      </c>
      <c r="C4" s="1">
        <v>689.70119999999997</v>
      </c>
      <c r="D4" s="1">
        <v>1598.2378000000001</v>
      </c>
      <c r="E4" s="1">
        <f t="shared" ref="E4:E9" si="0">F4*0.44</f>
        <v>984.5144848000001</v>
      </c>
      <c r="F4" s="1">
        <v>2237.5329200000001</v>
      </c>
      <c r="G4">
        <v>68</v>
      </c>
      <c r="H4" s="1">
        <v>4</v>
      </c>
      <c r="I4" s="2">
        <v>0.76</v>
      </c>
      <c r="J4">
        <v>29</v>
      </c>
      <c r="L4" s="3"/>
      <c r="N4" s="1"/>
    </row>
    <row r="5" spans="1:14" x14ac:dyDescent="0.25">
      <c r="A5">
        <v>4</v>
      </c>
      <c r="B5" s="4" t="s">
        <v>15</v>
      </c>
      <c r="C5" s="1">
        <v>818.58669999999995</v>
      </c>
      <c r="D5" s="1">
        <v>818.64530000000002</v>
      </c>
      <c r="E5" s="1">
        <f t="shared" si="0"/>
        <v>504.28550479999996</v>
      </c>
      <c r="F5" s="1">
        <v>1146.1034199999999</v>
      </c>
      <c r="G5">
        <v>64</v>
      </c>
      <c r="H5" s="1">
        <v>2</v>
      </c>
      <c r="I5" s="2">
        <v>0.81</v>
      </c>
      <c r="J5">
        <v>16</v>
      </c>
      <c r="L5" s="3"/>
      <c r="N5" s="1"/>
    </row>
    <row r="6" spans="1:14" x14ac:dyDescent="0.25">
      <c r="A6">
        <v>5</v>
      </c>
      <c r="B6" s="4" t="s">
        <v>12</v>
      </c>
      <c r="C6" s="1">
        <v>1287.5255</v>
      </c>
      <c r="D6" s="1">
        <v>993.84439999999995</v>
      </c>
      <c r="E6" s="1">
        <f t="shared" si="0"/>
        <v>612.20815039999991</v>
      </c>
      <c r="F6" s="1">
        <v>1391.3821599999999</v>
      </c>
      <c r="G6">
        <v>62</v>
      </c>
      <c r="H6" s="1">
        <v>3</v>
      </c>
      <c r="I6" s="2">
        <v>0.9</v>
      </c>
      <c r="J6">
        <v>20</v>
      </c>
      <c r="L6" s="3"/>
      <c r="N6" s="1"/>
    </row>
    <row r="7" spans="1:14" x14ac:dyDescent="0.25">
      <c r="A7">
        <v>6</v>
      </c>
      <c r="B7" s="4" t="s">
        <v>21</v>
      </c>
      <c r="C7" s="1">
        <v>664.61440000000005</v>
      </c>
      <c r="D7" s="1">
        <v>589.41210000000001</v>
      </c>
      <c r="E7" s="1">
        <f t="shared" si="0"/>
        <v>363.07785359999997</v>
      </c>
      <c r="F7" s="1">
        <v>825.17693999999995</v>
      </c>
      <c r="G7">
        <v>58</v>
      </c>
      <c r="H7" s="1">
        <v>2</v>
      </c>
      <c r="I7" s="2">
        <v>0.92</v>
      </c>
      <c r="J7">
        <v>11</v>
      </c>
      <c r="L7" s="3"/>
      <c r="N7" s="1"/>
    </row>
    <row r="8" spans="1:14" x14ac:dyDescent="0.25">
      <c r="A8">
        <v>7</v>
      </c>
      <c r="B8" s="4" t="s">
        <v>16</v>
      </c>
      <c r="C8" s="1">
        <v>988.33600000000001</v>
      </c>
      <c r="D8" s="1">
        <v>634.90970000000004</v>
      </c>
      <c r="E8" s="1">
        <f t="shared" si="0"/>
        <v>391.10437520000005</v>
      </c>
      <c r="F8" s="1">
        <v>888.87358000000006</v>
      </c>
      <c r="G8">
        <v>67</v>
      </c>
      <c r="H8" s="1">
        <v>3</v>
      </c>
      <c r="I8" s="2">
        <v>0.96</v>
      </c>
      <c r="J8">
        <v>16</v>
      </c>
      <c r="L8" s="3"/>
      <c r="N8" s="1"/>
    </row>
    <row r="9" spans="1:14" x14ac:dyDescent="0.25">
      <c r="A9">
        <v>8</v>
      </c>
      <c r="B9" s="4" t="s">
        <v>18</v>
      </c>
      <c r="C9" s="1">
        <v>886.45899999999995</v>
      </c>
      <c r="D9" s="1">
        <v>841.43499999999995</v>
      </c>
      <c r="E9" s="1">
        <f t="shared" si="0"/>
        <v>518.32395999999994</v>
      </c>
      <c r="F9" s="1">
        <v>1178.0089999999998</v>
      </c>
      <c r="G9">
        <v>69</v>
      </c>
      <c r="H9" s="1">
        <v>2</v>
      </c>
      <c r="I9" s="2">
        <v>0.85</v>
      </c>
      <c r="J9">
        <v>14</v>
      </c>
      <c r="L9" s="3"/>
      <c r="N9" s="1"/>
    </row>
    <row r="10" spans="1:14" x14ac:dyDescent="0.25">
      <c r="A10">
        <v>9</v>
      </c>
      <c r="B10" s="4" t="s">
        <v>11</v>
      </c>
      <c r="C10" s="1">
        <v>1957.0261</v>
      </c>
      <c r="D10" s="1">
        <v>1897.6457</v>
      </c>
      <c r="E10" s="1">
        <f>F10*0.53</f>
        <v>1408.0531094</v>
      </c>
      <c r="F10" s="1">
        <v>2656.7039799999998</v>
      </c>
      <c r="G10">
        <v>72</v>
      </c>
      <c r="H10" s="1">
        <v>6</v>
      </c>
      <c r="I10" s="2">
        <v>0.88</v>
      </c>
      <c r="J10">
        <v>29</v>
      </c>
      <c r="L10" s="3"/>
      <c r="N10" s="1"/>
    </row>
    <row r="11" spans="1:14" x14ac:dyDescent="0.25">
      <c r="A11">
        <v>10</v>
      </c>
      <c r="B11" s="4" t="s">
        <v>17</v>
      </c>
      <c r="C11" s="1">
        <v>975.20730000000003</v>
      </c>
      <c r="D11" s="1">
        <v>804.93129999999996</v>
      </c>
      <c r="E11" s="1">
        <f>F11*0.44</f>
        <v>495.83768079999987</v>
      </c>
      <c r="F11" s="1">
        <v>1126.9038199999998</v>
      </c>
      <c r="G11">
        <v>59</v>
      </c>
      <c r="H11" s="1">
        <v>1</v>
      </c>
      <c r="I11" s="2">
        <v>0.92</v>
      </c>
      <c r="J11">
        <v>15</v>
      </c>
      <c r="L11" s="3"/>
      <c r="N11" s="1"/>
    </row>
    <row r="12" spans="1:14" x14ac:dyDescent="0.25">
      <c r="A12">
        <v>11</v>
      </c>
      <c r="B12" s="4" t="s">
        <v>14</v>
      </c>
      <c r="C12" s="1">
        <v>1931.7568000000001</v>
      </c>
      <c r="D12" s="1">
        <v>1135.3140000000001</v>
      </c>
      <c r="E12" s="1">
        <f>F12*0.44</f>
        <v>699.35342400000002</v>
      </c>
      <c r="F12" s="1">
        <v>1589.4395999999999</v>
      </c>
      <c r="G12">
        <v>60</v>
      </c>
      <c r="H12" s="1">
        <v>1</v>
      </c>
      <c r="I12" s="2">
        <v>0.82</v>
      </c>
      <c r="J12">
        <v>18</v>
      </c>
      <c r="L12" s="3"/>
      <c r="N12" s="1"/>
    </row>
    <row r="13" spans="1:14" x14ac:dyDescent="0.25">
      <c r="A13">
        <v>12</v>
      </c>
      <c r="B13" s="4" t="s">
        <v>13</v>
      </c>
      <c r="C13" s="1">
        <v>991.99450000000002</v>
      </c>
      <c r="D13" s="1">
        <v>1228.1053999999999</v>
      </c>
      <c r="E13" s="1">
        <f>F13*0.44</f>
        <v>756.51292639999986</v>
      </c>
      <c r="F13" s="1">
        <v>1719.3475599999997</v>
      </c>
      <c r="G13">
        <v>61</v>
      </c>
      <c r="H13" s="1">
        <v>2</v>
      </c>
      <c r="I13" s="2">
        <v>0.86</v>
      </c>
      <c r="J13">
        <v>20</v>
      </c>
      <c r="L13" s="3"/>
      <c r="N13" s="1"/>
    </row>
    <row r="14" spans="1:14" x14ac:dyDescent="0.25">
      <c r="A14">
        <v>13</v>
      </c>
      <c r="B14" s="4" t="s">
        <v>9</v>
      </c>
      <c r="C14" s="1">
        <v>2605.9203000000002</v>
      </c>
      <c r="D14">
        <v>2097</v>
      </c>
      <c r="E14" s="1">
        <f>F14*0.53</f>
        <v>1555.9739999999999</v>
      </c>
      <c r="F14">
        <v>2935.7999999999997</v>
      </c>
      <c r="G14">
        <v>64</v>
      </c>
      <c r="H14" s="1">
        <v>3</v>
      </c>
      <c r="I14" s="2">
        <v>0.93</v>
      </c>
      <c r="J14">
        <v>38</v>
      </c>
      <c r="L14" s="3"/>
      <c r="N14" s="1"/>
    </row>
    <row r="15" spans="1:14" x14ac:dyDescent="0.25">
      <c r="A15">
        <v>14</v>
      </c>
      <c r="B15" s="4" t="s">
        <v>19</v>
      </c>
      <c r="C15" s="1">
        <v>1276.3535999999999</v>
      </c>
      <c r="D15" s="1">
        <v>707.85149999999999</v>
      </c>
      <c r="E15" s="1">
        <f>F15*0.44</f>
        <v>436.03652399999999</v>
      </c>
      <c r="F15" s="1">
        <v>990.99209999999994</v>
      </c>
      <c r="G15">
        <v>63</v>
      </c>
      <c r="H15" s="1">
        <v>1</v>
      </c>
      <c r="I15" s="2">
        <v>0.79</v>
      </c>
      <c r="J15">
        <v>13</v>
      </c>
      <c r="L15" s="3"/>
      <c r="N15" s="1"/>
    </row>
    <row r="16" spans="1:14" x14ac:dyDescent="0.25">
      <c r="A16">
        <v>15</v>
      </c>
      <c r="B16" s="4" t="s">
        <v>20</v>
      </c>
      <c r="C16" s="1">
        <v>888</v>
      </c>
      <c r="D16" s="1">
        <v>1241.9293</v>
      </c>
      <c r="E16" s="1">
        <f>F16*0.44</f>
        <v>765.02844879999998</v>
      </c>
      <c r="F16" s="1">
        <v>1738.70102</v>
      </c>
      <c r="G16">
        <v>61</v>
      </c>
      <c r="H16" s="1">
        <v>0</v>
      </c>
      <c r="I16" s="2">
        <v>0.81</v>
      </c>
      <c r="J16">
        <v>12</v>
      </c>
    </row>
  </sheetData>
  <sortState xmlns:xlrd2="http://schemas.microsoft.com/office/spreadsheetml/2017/richdata2" ref="B2:J16">
    <sortCondition ref="B2:B1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-0.249977111117893"/>
  </sheetPr>
  <dimension ref="A1:O16"/>
  <sheetViews>
    <sheetView workbookViewId="0">
      <selection activeCell="Q2" sqref="Q2"/>
    </sheetView>
  </sheetViews>
  <sheetFormatPr baseColWidth="10" defaultColWidth="9.140625" defaultRowHeight="15" x14ac:dyDescent="0.25"/>
  <cols>
    <col min="2" max="2" width="14" bestFit="1" customWidth="1"/>
  </cols>
  <sheetData>
    <row r="1" spans="1:15" x14ac:dyDescent="0.25">
      <c r="A1" s="6" t="s">
        <v>25</v>
      </c>
      <c r="B1" s="6" t="s">
        <v>8</v>
      </c>
      <c r="C1" s="6" t="s">
        <v>26</v>
      </c>
      <c r="D1" s="6" t="s">
        <v>27</v>
      </c>
      <c r="E1" s="6" t="s">
        <v>28</v>
      </c>
      <c r="F1" s="6" t="s">
        <v>35</v>
      </c>
      <c r="G1" s="6" t="s">
        <v>36</v>
      </c>
      <c r="H1" s="6" t="s">
        <v>37</v>
      </c>
      <c r="I1" s="6" t="s">
        <v>38</v>
      </c>
      <c r="J1" s="6" t="s">
        <v>29</v>
      </c>
      <c r="K1" s="6" t="s">
        <v>33</v>
      </c>
      <c r="L1" s="6" t="s">
        <v>30</v>
      </c>
      <c r="M1" s="6" t="s">
        <v>34</v>
      </c>
      <c r="N1" s="6" t="s">
        <v>31</v>
      </c>
      <c r="O1" s="6" t="s">
        <v>32</v>
      </c>
    </row>
    <row r="2" spans="1:15" x14ac:dyDescent="0.25">
      <c r="A2">
        <v>1</v>
      </c>
      <c r="B2" s="4" t="s">
        <v>22</v>
      </c>
      <c r="C2">
        <v>126</v>
      </c>
      <c r="D2">
        <v>129</v>
      </c>
      <c r="E2">
        <v>107</v>
      </c>
      <c r="F2">
        <v>130</v>
      </c>
      <c r="G2">
        <v>136</v>
      </c>
      <c r="H2">
        <v>121</v>
      </c>
      <c r="I2" s="5">
        <v>126.98194000000001</v>
      </c>
      <c r="J2">
        <v>27</v>
      </c>
      <c r="K2">
        <f t="shared" ref="K2:K16" si="0">100-J2</f>
        <v>73</v>
      </c>
      <c r="L2">
        <v>83</v>
      </c>
      <c r="M2">
        <f t="shared" ref="M2:M16" si="1">100-L2</f>
        <v>17</v>
      </c>
      <c r="N2">
        <v>82</v>
      </c>
      <c r="O2">
        <f t="shared" ref="O2:O16" si="2">100-N2</f>
        <v>18</v>
      </c>
    </row>
    <row r="3" spans="1:15" x14ac:dyDescent="0.25">
      <c r="A3">
        <v>2</v>
      </c>
      <c r="B3" s="4" t="s">
        <v>10</v>
      </c>
      <c r="C3">
        <v>114</v>
      </c>
      <c r="D3">
        <v>117</v>
      </c>
      <c r="E3">
        <v>123</v>
      </c>
      <c r="F3">
        <v>156</v>
      </c>
      <c r="G3">
        <v>200</v>
      </c>
      <c r="H3">
        <v>224</v>
      </c>
      <c r="I3" s="5">
        <v>338.71647999999999</v>
      </c>
      <c r="J3">
        <v>27</v>
      </c>
      <c r="K3">
        <f t="shared" si="0"/>
        <v>73</v>
      </c>
      <c r="L3">
        <v>77</v>
      </c>
      <c r="M3">
        <f t="shared" si="1"/>
        <v>23</v>
      </c>
      <c r="N3">
        <v>82</v>
      </c>
      <c r="O3">
        <f t="shared" si="2"/>
        <v>18</v>
      </c>
    </row>
    <row r="4" spans="1:15" x14ac:dyDescent="0.25">
      <c r="A4">
        <v>3</v>
      </c>
      <c r="B4" s="4" t="s">
        <v>24</v>
      </c>
      <c r="C4">
        <v>134</v>
      </c>
      <c r="D4">
        <v>126</v>
      </c>
      <c r="E4">
        <v>108</v>
      </c>
      <c r="F4">
        <v>123</v>
      </c>
      <c r="G4">
        <v>109</v>
      </c>
      <c r="H4">
        <v>121</v>
      </c>
      <c r="I4" s="5">
        <v>159.82378</v>
      </c>
      <c r="J4">
        <v>23</v>
      </c>
      <c r="K4">
        <f t="shared" si="0"/>
        <v>77</v>
      </c>
      <c r="L4">
        <v>76</v>
      </c>
      <c r="M4">
        <f t="shared" si="1"/>
        <v>24</v>
      </c>
      <c r="N4">
        <v>87</v>
      </c>
      <c r="O4">
        <f t="shared" si="2"/>
        <v>13</v>
      </c>
    </row>
    <row r="5" spans="1:15" x14ac:dyDescent="0.25">
      <c r="A5">
        <v>4</v>
      </c>
      <c r="B5" s="4" t="s">
        <v>15</v>
      </c>
      <c r="C5">
        <v>114</v>
      </c>
      <c r="D5">
        <v>101</v>
      </c>
      <c r="E5">
        <v>110</v>
      </c>
      <c r="F5">
        <v>125</v>
      </c>
      <c r="G5">
        <v>116</v>
      </c>
      <c r="H5">
        <v>112</v>
      </c>
      <c r="I5" s="5">
        <v>81.864530000000002</v>
      </c>
      <c r="J5">
        <v>15</v>
      </c>
      <c r="K5">
        <f t="shared" si="0"/>
        <v>85</v>
      </c>
      <c r="L5">
        <v>89</v>
      </c>
      <c r="M5">
        <f t="shared" si="1"/>
        <v>11</v>
      </c>
      <c r="N5">
        <v>80</v>
      </c>
      <c r="O5">
        <f t="shared" si="2"/>
        <v>20</v>
      </c>
    </row>
    <row r="6" spans="1:15" x14ac:dyDescent="0.25">
      <c r="A6">
        <v>5</v>
      </c>
      <c r="B6" s="4" t="s">
        <v>12</v>
      </c>
      <c r="C6">
        <v>131</v>
      </c>
      <c r="D6">
        <v>138</v>
      </c>
      <c r="E6">
        <v>124</v>
      </c>
      <c r="F6">
        <v>139</v>
      </c>
      <c r="G6">
        <v>137</v>
      </c>
      <c r="H6">
        <v>152</v>
      </c>
      <c r="I6" s="5">
        <v>124.19292999999999</v>
      </c>
      <c r="J6">
        <v>26</v>
      </c>
      <c r="K6">
        <f t="shared" si="0"/>
        <v>74</v>
      </c>
      <c r="L6">
        <v>81</v>
      </c>
      <c r="M6">
        <f t="shared" si="1"/>
        <v>19</v>
      </c>
      <c r="N6">
        <v>76</v>
      </c>
      <c r="O6">
        <f t="shared" si="2"/>
        <v>24</v>
      </c>
    </row>
    <row r="7" spans="1:15" x14ac:dyDescent="0.25">
      <c r="A7">
        <v>6</v>
      </c>
      <c r="B7" s="4" t="s">
        <v>21</v>
      </c>
      <c r="C7">
        <v>101</v>
      </c>
      <c r="D7">
        <v>101</v>
      </c>
      <c r="E7">
        <v>85</v>
      </c>
      <c r="F7">
        <v>115</v>
      </c>
      <c r="G7">
        <v>118</v>
      </c>
      <c r="H7">
        <v>96</v>
      </c>
      <c r="I7" s="5">
        <v>63.490970000000004</v>
      </c>
      <c r="J7">
        <v>15</v>
      </c>
      <c r="K7">
        <f t="shared" si="0"/>
        <v>85</v>
      </c>
      <c r="L7">
        <v>77</v>
      </c>
      <c r="M7">
        <f t="shared" si="1"/>
        <v>23</v>
      </c>
      <c r="N7">
        <v>75</v>
      </c>
      <c r="O7">
        <f t="shared" si="2"/>
        <v>25</v>
      </c>
    </row>
    <row r="8" spans="1:15" x14ac:dyDescent="0.25">
      <c r="A8">
        <v>7</v>
      </c>
      <c r="B8" s="4" t="s">
        <v>16</v>
      </c>
      <c r="C8">
        <v>148</v>
      </c>
      <c r="D8">
        <v>126</v>
      </c>
      <c r="E8">
        <v>151</v>
      </c>
      <c r="F8">
        <v>126</v>
      </c>
      <c r="G8">
        <v>123</v>
      </c>
      <c r="H8">
        <v>146</v>
      </c>
      <c r="I8" s="5">
        <v>99.384439999999998</v>
      </c>
      <c r="J8">
        <v>20</v>
      </c>
      <c r="K8">
        <f t="shared" si="0"/>
        <v>80</v>
      </c>
      <c r="L8">
        <v>88</v>
      </c>
      <c r="M8">
        <f t="shared" si="1"/>
        <v>12</v>
      </c>
      <c r="N8">
        <v>86</v>
      </c>
      <c r="O8">
        <f t="shared" si="2"/>
        <v>14</v>
      </c>
    </row>
    <row r="9" spans="1:15" x14ac:dyDescent="0.25">
      <c r="A9">
        <v>8</v>
      </c>
      <c r="B9" s="4" t="s">
        <v>18</v>
      </c>
      <c r="C9">
        <v>153</v>
      </c>
      <c r="D9">
        <v>140</v>
      </c>
      <c r="E9">
        <v>156</v>
      </c>
      <c r="F9">
        <v>153</v>
      </c>
      <c r="G9">
        <v>162</v>
      </c>
      <c r="H9">
        <v>160</v>
      </c>
      <c r="I9" s="5">
        <v>84.143500000000003</v>
      </c>
      <c r="J9">
        <v>23</v>
      </c>
      <c r="K9">
        <f t="shared" si="0"/>
        <v>77</v>
      </c>
      <c r="L9">
        <v>80</v>
      </c>
      <c r="M9">
        <f t="shared" si="1"/>
        <v>20</v>
      </c>
      <c r="N9">
        <v>90</v>
      </c>
      <c r="O9">
        <f t="shared" si="2"/>
        <v>10</v>
      </c>
    </row>
    <row r="10" spans="1:15" x14ac:dyDescent="0.25">
      <c r="A10">
        <v>9</v>
      </c>
      <c r="B10" s="4" t="s">
        <v>11</v>
      </c>
      <c r="C10">
        <v>117</v>
      </c>
      <c r="D10">
        <v>118</v>
      </c>
      <c r="E10">
        <v>117</v>
      </c>
      <c r="F10">
        <v>121</v>
      </c>
      <c r="G10">
        <v>139</v>
      </c>
      <c r="H10">
        <v>129</v>
      </c>
      <c r="I10" s="5">
        <v>189.76457000000002</v>
      </c>
      <c r="J10">
        <v>27</v>
      </c>
      <c r="K10">
        <f t="shared" si="0"/>
        <v>73</v>
      </c>
      <c r="L10">
        <v>77</v>
      </c>
      <c r="M10">
        <f t="shared" si="1"/>
        <v>23</v>
      </c>
      <c r="N10">
        <v>84</v>
      </c>
      <c r="O10">
        <f t="shared" si="2"/>
        <v>16</v>
      </c>
    </row>
    <row r="11" spans="1:15" x14ac:dyDescent="0.25">
      <c r="A11">
        <v>10</v>
      </c>
      <c r="B11" s="4" t="s">
        <v>17</v>
      </c>
      <c r="C11">
        <v>152</v>
      </c>
      <c r="D11">
        <v>143</v>
      </c>
      <c r="E11">
        <v>159</v>
      </c>
      <c r="F11">
        <v>160</v>
      </c>
      <c r="G11">
        <v>155</v>
      </c>
      <c r="H11">
        <v>155</v>
      </c>
      <c r="I11" s="5">
        <v>80.493130000000008</v>
      </c>
      <c r="J11">
        <v>17</v>
      </c>
      <c r="K11">
        <f t="shared" si="0"/>
        <v>83</v>
      </c>
      <c r="L11">
        <v>83</v>
      </c>
      <c r="M11">
        <f t="shared" si="1"/>
        <v>17</v>
      </c>
      <c r="N11">
        <v>75</v>
      </c>
      <c r="O11">
        <f t="shared" si="2"/>
        <v>25</v>
      </c>
    </row>
    <row r="12" spans="1:15" x14ac:dyDescent="0.25">
      <c r="A12">
        <v>11</v>
      </c>
      <c r="B12" s="4" t="s">
        <v>14</v>
      </c>
      <c r="C12">
        <v>110</v>
      </c>
      <c r="D12">
        <v>105</v>
      </c>
      <c r="E12">
        <v>114</v>
      </c>
      <c r="F12">
        <v>102</v>
      </c>
      <c r="G12">
        <v>90</v>
      </c>
      <c r="H12">
        <v>110</v>
      </c>
      <c r="I12" s="5">
        <v>113.53139999999999</v>
      </c>
      <c r="J12">
        <v>18</v>
      </c>
      <c r="K12">
        <f t="shared" si="0"/>
        <v>82</v>
      </c>
      <c r="L12">
        <v>76</v>
      </c>
      <c r="M12">
        <f t="shared" si="1"/>
        <v>24</v>
      </c>
      <c r="N12">
        <v>76</v>
      </c>
      <c r="O12">
        <f t="shared" si="2"/>
        <v>24</v>
      </c>
    </row>
    <row r="13" spans="1:15" x14ac:dyDescent="0.25">
      <c r="A13">
        <v>12</v>
      </c>
      <c r="B13" s="4" t="s">
        <v>13</v>
      </c>
      <c r="C13">
        <v>104</v>
      </c>
      <c r="D13">
        <v>123</v>
      </c>
      <c r="E13">
        <v>106</v>
      </c>
      <c r="F13">
        <v>98</v>
      </c>
      <c r="G13">
        <v>104</v>
      </c>
      <c r="H13">
        <v>100</v>
      </c>
      <c r="I13" s="5">
        <v>122.81053999999999</v>
      </c>
      <c r="J13">
        <v>29</v>
      </c>
      <c r="K13">
        <f t="shared" si="0"/>
        <v>71</v>
      </c>
      <c r="L13">
        <v>84</v>
      </c>
      <c r="M13">
        <f t="shared" si="1"/>
        <v>16</v>
      </c>
      <c r="N13">
        <v>90</v>
      </c>
      <c r="O13">
        <f t="shared" si="2"/>
        <v>10</v>
      </c>
    </row>
    <row r="14" spans="1:15" x14ac:dyDescent="0.25">
      <c r="A14">
        <v>13</v>
      </c>
      <c r="B14" s="4" t="s">
        <v>9</v>
      </c>
      <c r="C14">
        <v>88</v>
      </c>
      <c r="D14">
        <v>116</v>
      </c>
      <c r="E14">
        <v>126</v>
      </c>
      <c r="F14">
        <v>117</v>
      </c>
      <c r="G14">
        <v>120</v>
      </c>
      <c r="H14">
        <v>132</v>
      </c>
      <c r="I14" s="5">
        <v>208.51820000000001</v>
      </c>
      <c r="J14">
        <v>18</v>
      </c>
      <c r="K14">
        <f t="shared" si="0"/>
        <v>82</v>
      </c>
      <c r="L14">
        <v>79</v>
      </c>
      <c r="M14">
        <f t="shared" si="1"/>
        <v>21</v>
      </c>
      <c r="N14">
        <v>88</v>
      </c>
      <c r="O14">
        <f t="shared" si="2"/>
        <v>12</v>
      </c>
    </row>
    <row r="15" spans="1:15" x14ac:dyDescent="0.25">
      <c r="A15">
        <v>14</v>
      </c>
      <c r="B15" s="4" t="s">
        <v>19</v>
      </c>
      <c r="C15">
        <v>90</v>
      </c>
      <c r="D15">
        <v>93</v>
      </c>
      <c r="E15">
        <v>114</v>
      </c>
      <c r="F15">
        <v>92</v>
      </c>
      <c r="G15">
        <v>98</v>
      </c>
      <c r="H15">
        <v>119</v>
      </c>
      <c r="I15" s="5">
        <v>70.785149999999987</v>
      </c>
      <c r="J15">
        <v>17</v>
      </c>
      <c r="K15">
        <f t="shared" si="0"/>
        <v>83</v>
      </c>
      <c r="L15">
        <v>79</v>
      </c>
      <c r="M15">
        <f t="shared" si="1"/>
        <v>21</v>
      </c>
      <c r="N15">
        <v>80</v>
      </c>
      <c r="O15">
        <f t="shared" si="2"/>
        <v>20</v>
      </c>
    </row>
    <row r="16" spans="1:15" x14ac:dyDescent="0.25">
      <c r="A16">
        <v>15</v>
      </c>
      <c r="B16" s="4" t="s">
        <v>20</v>
      </c>
      <c r="C16">
        <v>89</v>
      </c>
      <c r="D16">
        <v>75</v>
      </c>
      <c r="E16">
        <v>92</v>
      </c>
      <c r="F16">
        <v>85</v>
      </c>
      <c r="G16">
        <v>101</v>
      </c>
      <c r="H16">
        <v>95</v>
      </c>
      <c r="I16" s="5">
        <v>58.941209999999998</v>
      </c>
      <c r="J16">
        <v>25</v>
      </c>
      <c r="K16">
        <f t="shared" si="0"/>
        <v>75</v>
      </c>
      <c r="L16">
        <v>89</v>
      </c>
      <c r="M16">
        <f t="shared" si="1"/>
        <v>11</v>
      </c>
      <c r="N16">
        <v>74</v>
      </c>
      <c r="O16">
        <f t="shared" si="2"/>
        <v>26</v>
      </c>
    </row>
  </sheetData>
  <sortState xmlns:xlrd2="http://schemas.microsoft.com/office/spreadsheetml/2017/richdata2" ref="B2:O16">
    <sortCondition ref="B2:B1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Financial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Smallman</dc:creator>
  <cp:lastModifiedBy>Kiliam Martín</cp:lastModifiedBy>
  <dcterms:created xsi:type="dcterms:W3CDTF">2013-12-13T08:05:19Z</dcterms:created>
  <dcterms:modified xsi:type="dcterms:W3CDTF">2022-03-13T17:55:00Z</dcterms:modified>
</cp:coreProperties>
</file>